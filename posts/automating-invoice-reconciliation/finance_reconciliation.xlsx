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rchase Orders" sheetId="1" state="visible" r:id="rId3"/>
    <sheet name="Invoices" sheetId="2" state="visible" r:id="rId4"/>
    <sheet name="Payments" sheetId="3" state="visible" r:id="rId5"/>
    <sheet name="Exceptions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<sst xmlns="http://schemas.openxmlformats.org/spreadsheetml/2006/main" count="188" uniqueCount="91">
  <si>
    <t xml:space="preserve">PO_ID</t>
  </si>
  <si>
    <t xml:space="preserve">Supplier</t>
  </si>
  <si>
    <t xml:space="preserve">PO_Amount</t>
  </si>
  <si>
    <t xml:space="preserve">PO_Date</t>
  </si>
  <si>
    <t xml:space="preserve">PO-1001</t>
  </si>
  <si>
    <t xml:space="preserve">Fenwick IT Services</t>
  </si>
  <si>
    <t xml:space="preserve">2026-05-08</t>
  </si>
  <si>
    <t xml:space="preserve">PO-1002</t>
  </si>
  <si>
    <t xml:space="preserve">Bright Office Supplies</t>
  </si>
  <si>
    <t xml:space="preserve">2026-02-22</t>
  </si>
  <si>
    <t xml:space="preserve">PO-1003</t>
  </si>
  <si>
    <t xml:space="preserve">2026-02-19</t>
  </si>
  <si>
    <t xml:space="preserve">PO-1004</t>
  </si>
  <si>
    <t xml:space="preserve">Delta Print &amp; Design</t>
  </si>
  <si>
    <t xml:space="preserve">2026-02-07</t>
  </si>
  <si>
    <t xml:space="preserve">PO-1005</t>
  </si>
  <si>
    <t xml:space="preserve">2026-01-18</t>
  </si>
  <si>
    <t xml:space="preserve">PO-1006</t>
  </si>
  <si>
    <t xml:space="preserve">2026-07-08</t>
  </si>
  <si>
    <t xml:space="preserve">PO-1007</t>
  </si>
  <si>
    <t xml:space="preserve">2026-01-25</t>
  </si>
  <si>
    <t xml:space="preserve">PO-1008</t>
  </si>
  <si>
    <t xml:space="preserve">2026-06-09</t>
  </si>
  <si>
    <t xml:space="preserve">PO-1009</t>
  </si>
  <si>
    <t xml:space="preserve">2026-06-04</t>
  </si>
  <si>
    <t xml:space="preserve">PO-1010</t>
  </si>
  <si>
    <t xml:space="preserve">Alpha Trading Co</t>
  </si>
  <si>
    <t xml:space="preserve">2026-06-28</t>
  </si>
  <si>
    <t xml:space="preserve">PO-1011</t>
  </si>
  <si>
    <t xml:space="preserve">Coastal Logistics</t>
  </si>
  <si>
    <t xml:space="preserve">2026-01-24</t>
  </si>
  <si>
    <t xml:space="preserve">PO-1012</t>
  </si>
  <si>
    <t xml:space="preserve">2026-07-03</t>
  </si>
  <si>
    <t xml:space="preserve">PO-1013</t>
  </si>
  <si>
    <t xml:space="preserve">Everline Packaging</t>
  </si>
  <si>
    <t xml:space="preserve">2026-06-19</t>
  </si>
  <si>
    <t xml:space="preserve">PO-1014</t>
  </si>
  <si>
    <t xml:space="preserve">2026-01-22</t>
  </si>
  <si>
    <t xml:space="preserve">PO-1015</t>
  </si>
  <si>
    <t xml:space="preserve">2026-02-28</t>
  </si>
  <si>
    <t xml:space="preserve">Invoice_ID</t>
  </si>
  <si>
    <t xml:space="preserve">Invoice_Amount</t>
  </si>
  <si>
    <t xml:space="preserve">Invoice_Date</t>
  </si>
  <si>
    <t xml:space="preserve">INV-2001</t>
  </si>
  <si>
    <t xml:space="preserve">INV-2002</t>
  </si>
  <si>
    <t xml:space="preserve">INV-2003</t>
  </si>
  <si>
    <t xml:space="preserve">INV-2004</t>
  </si>
  <si>
    <t xml:space="preserve">INV-2005</t>
  </si>
  <si>
    <t xml:space="preserve">INV-2006</t>
  </si>
  <si>
    <t xml:space="preserve">INV-2007</t>
  </si>
  <si>
    <t xml:space="preserve">INV-2008</t>
  </si>
  <si>
    <t xml:space="preserve">INV-2009</t>
  </si>
  <si>
    <t xml:space="preserve">INV-2010</t>
  </si>
  <si>
    <t xml:space="preserve">INV-2011</t>
  </si>
  <si>
    <t xml:space="preserve">INV-2012</t>
  </si>
  <si>
    <t xml:space="preserve">INV-2013</t>
  </si>
  <si>
    <t xml:space="preserve">INV-2014</t>
  </si>
  <si>
    <t xml:space="preserve">INV-2015</t>
  </si>
  <si>
    <t xml:space="preserve">INV-2016</t>
  </si>
  <si>
    <t xml:space="preserve">INV-2017</t>
  </si>
  <si>
    <t xml:space="preserve">PO-9999</t>
  </si>
  <si>
    <t xml:space="preserve">2026-07-15</t>
  </si>
  <si>
    <t xml:space="preserve">Payment_ID</t>
  </si>
  <si>
    <t xml:space="preserve">Payment_Amount</t>
  </si>
  <si>
    <t xml:space="preserve">Payment_Date</t>
  </si>
  <si>
    <t xml:space="preserve">PAY-3001</t>
  </si>
  <si>
    <t xml:space="preserve">PAY-3002</t>
  </si>
  <si>
    <t xml:space="preserve">PAY-3003</t>
  </si>
  <si>
    <t xml:space="preserve">PAY-3004</t>
  </si>
  <si>
    <t xml:space="preserve">PAY-3005</t>
  </si>
  <si>
    <t xml:space="preserve">PAY-3006</t>
  </si>
  <si>
    <t xml:space="preserve">PAY-3007</t>
  </si>
  <si>
    <t xml:space="preserve">PAY-3008</t>
  </si>
  <si>
    <t xml:space="preserve">PAY-3009</t>
  </si>
  <si>
    <t xml:space="preserve">PAY-3010</t>
  </si>
  <si>
    <t xml:space="preserve">PAY-3011</t>
  </si>
  <si>
    <t xml:space="preserve">PAY-3012</t>
  </si>
  <si>
    <t xml:space="preserve">PAY-3013</t>
  </si>
  <si>
    <t xml:space="preserve">PAY-3014</t>
  </si>
  <si>
    <t xml:space="preserve">PAY-3015</t>
  </si>
  <si>
    <t xml:space="preserve">Invoice Reconciliation — Exception Report</t>
  </si>
  <si>
    <t xml:space="preserve">Total_Paid</t>
  </si>
  <si>
    <t xml:space="preserve">Amount_Variance</t>
  </si>
  <si>
    <t xml:space="preserve">Exception_Type</t>
  </si>
  <si>
    <t xml:space="preserve">Exception Summary</t>
  </si>
  <si>
    <t xml:space="preserve">Count</t>
  </si>
  <si>
    <t xml:space="preserve">No matching PO</t>
  </si>
  <si>
    <t xml:space="preserve">PO/Invoice amount mismatch</t>
  </si>
  <si>
    <t xml:space="preserve">Unpaid</t>
  </si>
  <si>
    <t xml:space="preserve">Payment amount mismatch</t>
  </si>
  <si>
    <t xml:space="preserve">OK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</si>
</sst>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4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C7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2" t="n">
        <v>734.39</v>
      </c>
      <c r="D2" s="3" t="s">
        <v>6</v>
      </c>
    </row>
    <row r="3" customFormat="false" ht="15" hidden="false" customHeight="false" outlineLevel="0" collapsed="false">
      <c r="A3" s="0" t="s">
        <v>7</v>
      </c>
      <c r="B3" s="0" t="s">
        <v>8</v>
      </c>
      <c r="C3" s="2" t="n">
        <v>869.78</v>
      </c>
      <c r="D3" s="3" t="s">
        <v>9</v>
      </c>
    </row>
    <row r="4" customFormat="false" ht="15" hidden="false" customHeight="false" outlineLevel="0" collapsed="false">
      <c r="A4" s="0" t="s">
        <v>10</v>
      </c>
      <c r="B4" s="0" t="s">
        <v>5</v>
      </c>
      <c r="C4" s="2" t="n">
        <v>4482.46</v>
      </c>
      <c r="D4" s="3" t="s">
        <v>11</v>
      </c>
    </row>
    <row r="5" customFormat="false" ht="15" hidden="false" customHeight="false" outlineLevel="0" collapsed="false">
      <c r="A5" s="0" t="s">
        <v>12</v>
      </c>
      <c r="B5" s="0" t="s">
        <v>13</v>
      </c>
      <c r="C5" s="2" t="n">
        <v>352.56</v>
      </c>
      <c r="D5" s="3" t="s">
        <v>14</v>
      </c>
    </row>
    <row r="6" customFormat="false" ht="15" hidden="false" customHeight="false" outlineLevel="0" collapsed="false">
      <c r="A6" s="0" t="s">
        <v>15</v>
      </c>
      <c r="B6" s="0" t="s">
        <v>8</v>
      </c>
      <c r="C6" s="2" t="n">
        <v>2625.71</v>
      </c>
      <c r="D6" s="3" t="s">
        <v>16</v>
      </c>
    </row>
    <row r="7" customFormat="false" ht="15" hidden="false" customHeight="false" outlineLevel="0" collapsed="false">
      <c r="A7" s="0" t="s">
        <v>17</v>
      </c>
      <c r="B7" s="0" t="s">
        <v>8</v>
      </c>
      <c r="C7" s="2" t="n">
        <v>3636.89</v>
      </c>
      <c r="D7" s="3" t="s">
        <v>18</v>
      </c>
    </row>
    <row r="8" customFormat="false" ht="15" hidden="false" customHeight="false" outlineLevel="0" collapsed="false">
      <c r="A8" s="0" t="s">
        <v>19</v>
      </c>
      <c r="B8" s="0" t="s">
        <v>13</v>
      </c>
      <c r="C8" s="2" t="n">
        <v>3028.48</v>
      </c>
      <c r="D8" s="3" t="s">
        <v>20</v>
      </c>
    </row>
    <row r="9" customFormat="false" ht="15" hidden="false" customHeight="false" outlineLevel="0" collapsed="false">
      <c r="A9" s="0" t="s">
        <v>21</v>
      </c>
      <c r="B9" s="0" t="s">
        <v>8</v>
      </c>
      <c r="C9" s="2" t="n">
        <v>3551.07</v>
      </c>
      <c r="D9" s="3" t="s">
        <v>22</v>
      </c>
    </row>
    <row r="10" customFormat="false" ht="15" hidden="false" customHeight="false" outlineLevel="0" collapsed="false">
      <c r="A10" s="0" t="s">
        <v>23</v>
      </c>
      <c r="B10" s="0" t="s">
        <v>8</v>
      </c>
      <c r="C10" s="2" t="n">
        <v>1233.51</v>
      </c>
      <c r="D10" s="3" t="s">
        <v>24</v>
      </c>
    </row>
    <row r="11" customFormat="false" ht="15" hidden="false" customHeight="false" outlineLevel="0" collapsed="false">
      <c r="A11" s="0" t="s">
        <v>25</v>
      </c>
      <c r="B11" s="0" t="s">
        <v>26</v>
      </c>
      <c r="C11" s="2" t="n">
        <v>2023.65</v>
      </c>
      <c r="D11" s="3" t="s">
        <v>27</v>
      </c>
    </row>
    <row r="12" customFormat="false" ht="15" hidden="false" customHeight="false" outlineLevel="0" collapsed="false">
      <c r="A12" s="0" t="s">
        <v>28</v>
      </c>
      <c r="B12" s="0" t="s">
        <v>29</v>
      </c>
      <c r="C12" s="2" t="n">
        <v>3097.88</v>
      </c>
      <c r="D12" s="3" t="s">
        <v>30</v>
      </c>
    </row>
    <row r="13" customFormat="false" ht="15" hidden="false" customHeight="false" outlineLevel="0" collapsed="false">
      <c r="A13" s="0" t="s">
        <v>31</v>
      </c>
      <c r="B13" s="0" t="s">
        <v>13</v>
      </c>
      <c r="C13" s="2" t="n">
        <v>2773.89</v>
      </c>
      <c r="D13" s="3" t="s">
        <v>32</v>
      </c>
    </row>
    <row r="14" customFormat="false" ht="15" hidden="false" customHeight="false" outlineLevel="0" collapsed="false">
      <c r="A14" s="0" t="s">
        <v>33</v>
      </c>
      <c r="B14" s="0" t="s">
        <v>34</v>
      </c>
      <c r="C14" s="2" t="n">
        <v>1607.26</v>
      </c>
      <c r="D14" s="3" t="s">
        <v>35</v>
      </c>
    </row>
    <row r="15" customFormat="false" ht="15" hidden="false" customHeight="false" outlineLevel="0" collapsed="false">
      <c r="A15" s="0" t="s">
        <v>36</v>
      </c>
      <c r="B15" s="0" t="s">
        <v>8</v>
      </c>
      <c r="C15" s="2" t="n">
        <v>3581.94</v>
      </c>
      <c r="D15" s="3" t="s">
        <v>37</v>
      </c>
    </row>
    <row r="16" customFormat="false" ht="15" hidden="false" customHeight="false" outlineLevel="0" collapsed="false">
      <c r="A16" s="0" t="s">
        <v>38</v>
      </c>
      <c r="B16" s="0" t="s">
        <v>8</v>
      </c>
      <c r="C16" s="2" t="n">
        <v>3910.73</v>
      </c>
      <c r="D16" s="3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</cols>
  <sheetData>
    <row r="1" customFormat="false" ht="15" hidden="false" customHeight="false" outlineLevel="0" collapsed="false">
      <c r="A1" s="1" t="s">
        <v>40</v>
      </c>
      <c r="B1" s="1" t="s">
        <v>0</v>
      </c>
      <c r="C1" s="1" t="s">
        <v>1</v>
      </c>
      <c r="D1" s="1" t="s">
        <v>41</v>
      </c>
      <c r="E1" s="1" t="s">
        <v>42</v>
      </c>
    </row>
    <row r="2" customFormat="false" ht="15" hidden="false" customHeight="false" outlineLevel="0" collapsed="false">
      <c r="A2" s="0" t="s">
        <v>43</v>
      </c>
      <c r="B2" s="0" t="s">
        <v>4</v>
      </c>
      <c r="C2" s="0" t="s">
        <v>5</v>
      </c>
      <c r="D2" s="2" t="n">
        <v>734.39</v>
      </c>
      <c r="E2" s="3" t="s">
        <v>6</v>
      </c>
    </row>
    <row r="3" customFormat="false" ht="15" hidden="false" customHeight="false" outlineLevel="0" collapsed="false">
      <c r="A3" s="0" t="s">
        <v>44</v>
      </c>
      <c r="B3" s="0" t="s">
        <v>7</v>
      </c>
      <c r="C3" s="0" t="s">
        <v>8</v>
      </c>
      <c r="D3" s="2" t="n">
        <v>869.78</v>
      </c>
      <c r="E3" s="3" t="s">
        <v>9</v>
      </c>
    </row>
    <row r="4" customFormat="false" ht="15" hidden="false" customHeight="false" outlineLevel="0" collapsed="false">
      <c r="A4" s="0" t="s">
        <v>45</v>
      </c>
      <c r="B4" s="0" t="s">
        <v>10</v>
      </c>
      <c r="C4" s="0" t="s">
        <v>5</v>
      </c>
      <c r="D4" s="2" t="n">
        <v>4632.46</v>
      </c>
      <c r="E4" s="3" t="s">
        <v>11</v>
      </c>
    </row>
    <row r="5" customFormat="false" ht="15" hidden="false" customHeight="false" outlineLevel="0" collapsed="false">
      <c r="A5" s="0" t="s">
        <v>46</v>
      </c>
      <c r="B5" s="0" t="s">
        <v>12</v>
      </c>
      <c r="C5" s="0" t="s">
        <v>13</v>
      </c>
      <c r="D5" s="2" t="n">
        <v>352.56</v>
      </c>
      <c r="E5" s="3" t="s">
        <v>14</v>
      </c>
    </row>
    <row r="6" customFormat="false" ht="15" hidden="false" customHeight="false" outlineLevel="0" collapsed="false">
      <c r="A6" s="0" t="s">
        <v>47</v>
      </c>
      <c r="B6" s="0" t="s">
        <v>15</v>
      </c>
      <c r="C6" s="0" t="s">
        <v>8</v>
      </c>
      <c r="D6" s="2" t="n">
        <v>2625.71</v>
      </c>
      <c r="E6" s="3" t="s">
        <v>16</v>
      </c>
    </row>
    <row r="7" customFormat="false" ht="15" hidden="false" customHeight="false" outlineLevel="0" collapsed="false">
      <c r="A7" s="0" t="s">
        <v>48</v>
      </c>
      <c r="B7" s="0" t="s">
        <v>17</v>
      </c>
      <c r="C7" s="0" t="s">
        <v>8</v>
      </c>
      <c r="D7" s="2" t="n">
        <v>3561.39</v>
      </c>
      <c r="E7" s="3" t="s">
        <v>18</v>
      </c>
    </row>
    <row r="8" customFormat="false" ht="15" hidden="false" customHeight="false" outlineLevel="0" collapsed="false">
      <c r="A8" s="0" t="s">
        <v>49</v>
      </c>
      <c r="B8" s="0" t="s">
        <v>19</v>
      </c>
      <c r="C8" s="0" t="s">
        <v>13</v>
      </c>
      <c r="D8" s="2" t="n">
        <v>3028.48</v>
      </c>
      <c r="E8" s="3" t="s">
        <v>20</v>
      </c>
    </row>
    <row r="9" customFormat="false" ht="15" hidden="false" customHeight="false" outlineLevel="0" collapsed="false">
      <c r="A9" s="0" t="s">
        <v>50</v>
      </c>
      <c r="B9" s="0" t="s">
        <v>21</v>
      </c>
      <c r="C9" s="0" t="s">
        <v>8</v>
      </c>
      <c r="D9" s="2" t="n">
        <v>3551.07</v>
      </c>
      <c r="E9" s="3" t="s">
        <v>22</v>
      </c>
    </row>
    <row r="10" customFormat="false" ht="15" hidden="false" customHeight="false" outlineLevel="0" collapsed="false">
      <c r="A10" s="0" t="s">
        <v>51</v>
      </c>
      <c r="B10" s="0" t="s">
        <v>23</v>
      </c>
      <c r="C10" s="0" t="s">
        <v>8</v>
      </c>
      <c r="D10" s="2" t="n">
        <v>1233.51</v>
      </c>
      <c r="E10" s="3" t="s">
        <v>24</v>
      </c>
    </row>
    <row r="11" customFormat="false" ht="15" hidden="false" customHeight="false" outlineLevel="0" collapsed="false">
      <c r="A11" s="0" t="s">
        <v>52</v>
      </c>
      <c r="B11" s="0" t="s">
        <v>25</v>
      </c>
      <c r="C11" s="0" t="s">
        <v>26</v>
      </c>
      <c r="D11" s="2" t="n">
        <v>2023.65</v>
      </c>
      <c r="E11" s="3" t="s">
        <v>27</v>
      </c>
    </row>
    <row r="12" customFormat="false" ht="15" hidden="false" customHeight="false" outlineLevel="0" collapsed="false">
      <c r="A12" s="0" t="s">
        <v>53</v>
      </c>
      <c r="B12" s="0" t="s">
        <v>25</v>
      </c>
      <c r="C12" s="0" t="s">
        <v>26</v>
      </c>
      <c r="D12" s="2" t="n">
        <v>2023.65</v>
      </c>
      <c r="E12" s="3" t="s">
        <v>27</v>
      </c>
    </row>
    <row r="13" customFormat="false" ht="15" hidden="false" customHeight="false" outlineLevel="0" collapsed="false">
      <c r="A13" s="0" t="s">
        <v>54</v>
      </c>
      <c r="B13" s="0" t="s">
        <v>28</v>
      </c>
      <c r="C13" s="0" t="s">
        <v>29</v>
      </c>
      <c r="D13" s="2" t="n">
        <v>3097.88</v>
      </c>
      <c r="E13" s="3" t="s">
        <v>30</v>
      </c>
    </row>
    <row r="14" customFormat="false" ht="15" hidden="false" customHeight="false" outlineLevel="0" collapsed="false">
      <c r="A14" s="0" t="s">
        <v>55</v>
      </c>
      <c r="B14" s="0" t="s">
        <v>31</v>
      </c>
      <c r="C14" s="0" t="s">
        <v>13</v>
      </c>
      <c r="D14" s="2" t="n">
        <v>2773.89</v>
      </c>
      <c r="E14" s="3" t="s">
        <v>32</v>
      </c>
    </row>
    <row r="15" customFormat="false" ht="15" hidden="false" customHeight="false" outlineLevel="0" collapsed="false">
      <c r="A15" s="0" t="s">
        <v>56</v>
      </c>
      <c r="B15" s="0" t="s">
        <v>33</v>
      </c>
      <c r="C15" s="0" t="s">
        <v>34</v>
      </c>
      <c r="D15" s="2" t="n">
        <v>1607.26</v>
      </c>
      <c r="E15" s="3" t="s">
        <v>35</v>
      </c>
    </row>
    <row r="16" customFormat="false" ht="15" hidden="false" customHeight="false" outlineLevel="0" collapsed="false">
      <c r="A16" s="0" t="s">
        <v>57</v>
      </c>
      <c r="B16" s="0" t="s">
        <v>36</v>
      </c>
      <c r="C16" s="0" t="s">
        <v>8</v>
      </c>
      <c r="D16" s="2" t="n">
        <v>3581.94</v>
      </c>
      <c r="E16" s="3" t="s">
        <v>37</v>
      </c>
    </row>
    <row r="17" customFormat="false" ht="15" hidden="false" customHeight="false" outlineLevel="0" collapsed="false">
      <c r="A17" s="0" t="s">
        <v>58</v>
      </c>
      <c r="B17" s="0" t="s">
        <v>38</v>
      </c>
      <c r="C17" s="0" t="s">
        <v>8</v>
      </c>
      <c r="D17" s="2" t="n">
        <v>3910.73</v>
      </c>
      <c r="E17" s="3" t="s">
        <v>39</v>
      </c>
    </row>
    <row r="18" customFormat="false" ht="15" hidden="false" customHeight="false" outlineLevel="0" collapsed="false">
      <c r="A18" s="0" t="s">
        <v>59</v>
      </c>
      <c r="B18" s="0" t="s">
        <v>60</v>
      </c>
      <c r="C18" s="0" t="s">
        <v>29</v>
      </c>
      <c r="D18" s="2" t="n">
        <v>640</v>
      </c>
      <c r="E18" s="3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</cols>
  <sheetData>
    <row r="1" customFormat="false" ht="15" hidden="false" customHeight="false" outlineLevel="0" collapsed="false">
      <c r="A1" s="1" t="s">
        <v>62</v>
      </c>
      <c r="B1" s="1" t="s">
        <v>40</v>
      </c>
      <c r="C1" s="1" t="s">
        <v>63</v>
      </c>
      <c r="D1" s="1" t="s">
        <v>64</v>
      </c>
    </row>
    <row r="2" customFormat="false" ht="15" hidden="false" customHeight="false" outlineLevel="0" collapsed="false">
      <c r="A2" s="0" t="s">
        <v>65</v>
      </c>
      <c r="B2" s="0" t="s">
        <v>43</v>
      </c>
      <c r="C2" s="2" t="n">
        <v>734.39</v>
      </c>
      <c r="D2" s="3" t="s">
        <v>6</v>
      </c>
    </row>
    <row r="3" customFormat="false" ht="15" hidden="false" customHeight="false" outlineLevel="0" collapsed="false">
      <c r="A3" s="0" t="s">
        <v>66</v>
      </c>
      <c r="B3" s="0" t="s">
        <v>44</v>
      </c>
      <c r="C3" s="2" t="n">
        <v>869.78</v>
      </c>
      <c r="D3" s="3" t="s">
        <v>9</v>
      </c>
    </row>
    <row r="4" customFormat="false" ht="15" hidden="false" customHeight="false" outlineLevel="0" collapsed="false">
      <c r="A4" s="0" t="s">
        <v>67</v>
      </c>
      <c r="B4" s="0" t="s">
        <v>45</v>
      </c>
      <c r="C4" s="2" t="n">
        <v>4632.46</v>
      </c>
      <c r="D4" s="3" t="s">
        <v>11</v>
      </c>
    </row>
    <row r="5" customFormat="false" ht="15" hidden="false" customHeight="false" outlineLevel="0" collapsed="false">
      <c r="A5" s="0" t="s">
        <v>68</v>
      </c>
      <c r="B5" s="0" t="s">
        <v>46</v>
      </c>
      <c r="C5" s="2" t="n">
        <v>352.56</v>
      </c>
      <c r="D5" s="3" t="s">
        <v>14</v>
      </c>
    </row>
    <row r="6" customFormat="false" ht="15" hidden="false" customHeight="false" outlineLevel="0" collapsed="false">
      <c r="A6" s="0" t="s">
        <v>69</v>
      </c>
      <c r="B6" s="0" t="s">
        <v>48</v>
      </c>
      <c r="C6" s="2" t="n">
        <v>3561.39</v>
      </c>
      <c r="D6" s="3" t="s">
        <v>18</v>
      </c>
    </row>
    <row r="7" customFormat="false" ht="15" hidden="false" customHeight="false" outlineLevel="0" collapsed="false">
      <c r="A7" s="0" t="s">
        <v>70</v>
      </c>
      <c r="B7" s="0" t="s">
        <v>49</v>
      </c>
      <c r="C7" s="2" t="n">
        <v>3028.48</v>
      </c>
      <c r="D7" s="3" t="s">
        <v>20</v>
      </c>
    </row>
    <row r="8" customFormat="false" ht="15" hidden="false" customHeight="false" outlineLevel="0" collapsed="false">
      <c r="A8" s="0" t="s">
        <v>71</v>
      </c>
      <c r="B8" s="0" t="s">
        <v>50</v>
      </c>
      <c r="C8" s="2" t="n">
        <v>2130.64</v>
      </c>
      <c r="D8" s="3" t="s">
        <v>22</v>
      </c>
    </row>
    <row r="9" customFormat="false" ht="15" hidden="false" customHeight="false" outlineLevel="0" collapsed="false">
      <c r="A9" s="0" t="s">
        <v>72</v>
      </c>
      <c r="B9" s="0" t="s">
        <v>51</v>
      </c>
      <c r="C9" s="2" t="n">
        <v>1233.51</v>
      </c>
      <c r="D9" s="3" t="s">
        <v>24</v>
      </c>
    </row>
    <row r="10" customFormat="false" ht="15" hidden="false" customHeight="false" outlineLevel="0" collapsed="false">
      <c r="A10" s="0" t="s">
        <v>73</v>
      </c>
      <c r="B10" s="0" t="s">
        <v>52</v>
      </c>
      <c r="C10" s="2" t="n">
        <v>2023.65</v>
      </c>
      <c r="D10" s="3" t="s">
        <v>27</v>
      </c>
    </row>
    <row r="11" customFormat="false" ht="15" hidden="false" customHeight="false" outlineLevel="0" collapsed="false">
      <c r="A11" s="0" t="s">
        <v>74</v>
      </c>
      <c r="B11" s="0" t="s">
        <v>53</v>
      </c>
      <c r="C11" s="2" t="n">
        <v>2023.65</v>
      </c>
      <c r="D11" s="3" t="s">
        <v>27</v>
      </c>
    </row>
    <row r="12" customFormat="false" ht="15" hidden="false" customHeight="false" outlineLevel="0" collapsed="false">
      <c r="A12" s="0" t="s">
        <v>75</v>
      </c>
      <c r="B12" s="0" t="s">
        <v>55</v>
      </c>
      <c r="C12" s="2" t="n">
        <v>2773.89</v>
      </c>
      <c r="D12" s="3" t="s">
        <v>32</v>
      </c>
    </row>
    <row r="13" customFormat="false" ht="15" hidden="false" customHeight="false" outlineLevel="0" collapsed="false">
      <c r="A13" s="0" t="s">
        <v>76</v>
      </c>
      <c r="B13" s="0" t="s">
        <v>56</v>
      </c>
      <c r="C13" s="2" t="n">
        <v>1607.26</v>
      </c>
      <c r="D13" s="3" t="s">
        <v>35</v>
      </c>
    </row>
    <row r="14" customFormat="false" ht="15" hidden="false" customHeight="false" outlineLevel="0" collapsed="false">
      <c r="A14" s="0" t="s">
        <v>77</v>
      </c>
      <c r="B14" s="0" t="s">
        <v>57</v>
      </c>
      <c r="C14" s="2" t="n">
        <v>3581.94</v>
      </c>
      <c r="D14" s="3" t="s">
        <v>37</v>
      </c>
    </row>
    <row r="15" customFormat="false" ht="15" hidden="false" customHeight="false" outlineLevel="0" collapsed="false">
      <c r="A15" s="0" t="s">
        <v>78</v>
      </c>
      <c r="B15" s="0" t="s">
        <v>58</v>
      </c>
      <c r="C15" s="2" t="n">
        <v>3910.73</v>
      </c>
      <c r="D15" s="3" t="s">
        <v>39</v>
      </c>
    </row>
    <row r="16" customFormat="false" ht="15" hidden="false" customHeight="false" outlineLevel="0" collapsed="false">
      <c r="A16" s="0" t="s">
        <v>79</v>
      </c>
      <c r="B16" s="0" t="s">
        <v>59</v>
      </c>
      <c r="C16" s="2" t="n">
        <v>640</v>
      </c>
      <c r="D16" s="3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8"/>
  </cols>
  <sheetData>
    <row r="1" customFormat="false" ht="17.35" hidden="false" customHeight="false" outlineLevel="0" collapsed="false">
      <c r="A1" s="4" t="s">
        <v>80</v>
      </c>
      <c r="B1" s="4"/>
      <c r="C1" s="4"/>
      <c r="D1" s="4"/>
      <c r="E1" s="4"/>
      <c r="F1" s="4"/>
      <c r="G1" s="4"/>
      <c r="H1" s="4"/>
    </row>
    <row r="3" customFormat="false" ht="15" hidden="false" customHeight="false" outlineLevel="0" collapsed="false">
      <c r="A3" s="1" t="s">
        <v>40</v>
      </c>
      <c r="B3" s="1" t="s">
        <v>1</v>
      </c>
      <c r="C3" s="1" t="s">
        <v>0</v>
      </c>
      <c r="D3" s="1" t="s">
        <v>2</v>
      </c>
      <c r="E3" s="1" t="s">
        <v>41</v>
      </c>
      <c r="F3" s="1" t="s">
        <v>81</v>
      </c>
      <c r="G3" s="1" t="s">
        <v>82</v>
      </c>
      <c r="H3" s="1" t="s">
        <v>83</v>
      </c>
    </row>
    <row r="4" customFormat="false" ht="15" hidden="false" customHeight="false" outlineLevel="0" collapsed="false">
      <c r="A4" s="0" t="str">
        <f aca="false">Invoices!A2</f>
        <v>INV-2001</v>
      </c>
      <c r="B4" s="0" t="str">
        <f aca="false">Invoices!C2</f>
        <v>Fenwick IT Services</v>
      </c>
      <c r="C4" s="0" t="str">
        <f aca="false">Invoices!B2</f>
        <v>PO-1001</v>
      </c>
      <c r="D4" s="2" t="n">
        <f aca="false">IFERROR(INDEX('Purchase Orders'!$C$2:$C$16,MATCH(C4,'Purchase Orders'!$A$2:$A$16,0)),"")</f>
        <v>734.39</v>
      </c>
      <c r="E4" s="2" t="n">
        <f aca="false">Invoices!D2</f>
        <v>734.39</v>
      </c>
      <c r="F4" s="2" t="n">
        <f aca="false">SUMIF(Payments!$B$2:$B$16,A4,Payments!$C$2:$C$16)</f>
        <v>734.39</v>
      </c>
      <c r="G4" s="2" t="n">
        <f aca="false">E4-F4</f>
        <v>0</v>
      </c>
      <c r="H4" s="0" t="str">
        <f aca="false">IF(D4="","No matching PO",IF(ABS(E4-D4)&gt;0.01,"PO/Invoice amount mismatch",IF(F4=0,"Unpaid",IF(ABS(F4-E4)&gt;0.01,"Payment amount mismatch","OK"))))</f>
        <v>OK</v>
      </c>
    </row>
    <row r="5" customFormat="false" ht="15" hidden="false" customHeight="false" outlineLevel="0" collapsed="false">
      <c r="A5" s="0" t="str">
        <f aca="false">Invoices!A3</f>
        <v>INV-2002</v>
      </c>
      <c r="B5" s="0" t="str">
        <f aca="false">Invoices!C3</f>
        <v>Bright Office Supplies</v>
      </c>
      <c r="C5" s="0" t="str">
        <f aca="false">Invoices!B3</f>
        <v>PO-1002</v>
      </c>
      <c r="D5" s="2" t="n">
        <f aca="false">IFERROR(INDEX('Purchase Orders'!$C$2:$C$16,MATCH(C5,'Purchase Orders'!$A$2:$A$16,0)),"")</f>
        <v>869.78</v>
      </c>
      <c r="E5" s="2" t="n">
        <f aca="false">Invoices!D3</f>
        <v>869.78</v>
      </c>
      <c r="F5" s="2" t="n">
        <f aca="false">SUMIF(Payments!$B$2:$B$16,A5,Payments!$C$2:$C$16)</f>
        <v>869.78</v>
      </c>
      <c r="G5" s="2" t="n">
        <f aca="false">E5-F5</f>
        <v>0</v>
      </c>
      <c r="H5" s="0" t="str">
        <f aca="false">IF(D5="","No matching PO",IF(ABS(E5-D5)&gt;0.01,"PO/Invoice amount mismatch",IF(F5=0,"Unpaid",IF(ABS(F5-E5)&gt;0.01,"Payment amount mismatch","OK"))))</f>
        <v>OK</v>
      </c>
    </row>
    <row r="6" customFormat="false" ht="15" hidden="false" customHeight="false" outlineLevel="0" collapsed="false">
      <c r="A6" s="0" t="str">
        <f aca="false">Invoices!A4</f>
        <v>INV-2003</v>
      </c>
      <c r="B6" s="0" t="str">
        <f aca="false">Invoices!C4</f>
        <v>Fenwick IT Services</v>
      </c>
      <c r="C6" s="0" t="str">
        <f aca="false">Invoices!B4</f>
        <v>PO-1003</v>
      </c>
      <c r="D6" s="2" t="n">
        <f aca="false">IFERROR(INDEX('Purchase Orders'!$C$2:$C$16,MATCH(C6,'Purchase Orders'!$A$2:$A$16,0)),"")</f>
        <v>4482.46</v>
      </c>
      <c r="E6" s="2" t="n">
        <f aca="false">Invoices!D4</f>
        <v>4632.46</v>
      </c>
      <c r="F6" s="2" t="n">
        <f aca="false">SUMIF(Payments!$B$2:$B$16,A6,Payments!$C$2:$C$16)</f>
        <v>4632.46</v>
      </c>
      <c r="G6" s="2" t="n">
        <f aca="false">E6-F6</f>
        <v>0</v>
      </c>
      <c r="H6" s="0" t="str">
        <f aca="false">IF(D6="","No matching PO",IF(ABS(E6-D6)&gt;0.01,"PO/Invoice amount mismatch",IF(F6=0,"Unpaid",IF(ABS(F6-E6)&gt;0.01,"Payment amount mismatch","OK"))))</f>
        <v>PO/Invoice amount mismatch</v>
      </c>
    </row>
    <row r="7" customFormat="false" ht="15" hidden="false" customHeight="false" outlineLevel="0" collapsed="false">
      <c r="A7" s="0" t="str">
        <f aca="false">Invoices!A5</f>
        <v>INV-2004</v>
      </c>
      <c r="B7" s="0" t="str">
        <f aca="false">Invoices!C5</f>
        <v>Delta Print &amp; Design</v>
      </c>
      <c r="C7" s="0" t="str">
        <f aca="false">Invoices!B5</f>
        <v>PO-1004</v>
      </c>
      <c r="D7" s="2" t="n">
        <f aca="false">IFERROR(INDEX('Purchase Orders'!$C$2:$C$16,MATCH(C7,'Purchase Orders'!$A$2:$A$16,0)),"")</f>
        <v>352.56</v>
      </c>
      <c r="E7" s="2" t="n">
        <f aca="false">Invoices!D5</f>
        <v>352.56</v>
      </c>
      <c r="F7" s="2" t="n">
        <f aca="false">SUMIF(Payments!$B$2:$B$16,A7,Payments!$C$2:$C$16)</f>
        <v>352.56</v>
      </c>
      <c r="G7" s="2" t="n">
        <f aca="false">E7-F7</f>
        <v>0</v>
      </c>
      <c r="H7" s="0" t="str">
        <f aca="false">IF(D7="","No matching PO",IF(ABS(E7-D7)&gt;0.01,"PO/Invoice amount mismatch",IF(F7=0,"Unpaid",IF(ABS(F7-E7)&gt;0.01,"Payment amount mismatch","OK"))))</f>
        <v>OK</v>
      </c>
    </row>
    <row r="8" customFormat="false" ht="15" hidden="false" customHeight="false" outlineLevel="0" collapsed="false">
      <c r="A8" s="0" t="str">
        <f aca="false">Invoices!A6</f>
        <v>INV-2005</v>
      </c>
      <c r="B8" s="0" t="str">
        <f aca="false">Invoices!C6</f>
        <v>Bright Office Supplies</v>
      </c>
      <c r="C8" s="0" t="str">
        <f aca="false">Invoices!B6</f>
        <v>PO-1005</v>
      </c>
      <c r="D8" s="2" t="n">
        <f aca="false">IFERROR(INDEX('Purchase Orders'!$C$2:$C$16,MATCH(C8,'Purchase Orders'!$A$2:$A$16,0)),"")</f>
        <v>2625.71</v>
      </c>
      <c r="E8" s="2" t="n">
        <f aca="false">Invoices!D6</f>
        <v>2625.71</v>
      </c>
      <c r="F8" s="2" t="n">
        <f aca="false">SUMIF(Payments!$B$2:$B$16,A8,Payments!$C$2:$C$16)</f>
        <v>0</v>
      </c>
      <c r="G8" s="2" t="n">
        <f aca="false">E8-F8</f>
        <v>2625.71</v>
      </c>
      <c r="H8" s="0" t="str">
        <f aca="false">IF(D8="","No matching PO",IF(ABS(E8-D8)&gt;0.01,"PO/Invoice amount mismatch",IF(F8=0,"Unpaid",IF(ABS(F8-E8)&gt;0.01,"Payment amount mismatch","OK"))))</f>
        <v>Unpaid</v>
      </c>
    </row>
    <row r="9" customFormat="false" ht="15" hidden="false" customHeight="false" outlineLevel="0" collapsed="false">
      <c r="A9" s="0" t="str">
        <f aca="false">Invoices!A7</f>
        <v>INV-2006</v>
      </c>
      <c r="B9" s="0" t="str">
        <f aca="false">Invoices!C7</f>
        <v>Bright Office Supplies</v>
      </c>
      <c r="C9" s="0" t="str">
        <f aca="false">Invoices!B7</f>
        <v>PO-1006</v>
      </c>
      <c r="D9" s="2" t="n">
        <f aca="false">IFERROR(INDEX('Purchase Orders'!$C$2:$C$16,MATCH(C9,'Purchase Orders'!$A$2:$A$16,0)),"")</f>
        <v>3636.89</v>
      </c>
      <c r="E9" s="2" t="n">
        <f aca="false">Invoices!D7</f>
        <v>3561.39</v>
      </c>
      <c r="F9" s="2" t="n">
        <f aca="false">SUMIF(Payments!$B$2:$B$16,A9,Payments!$C$2:$C$16)</f>
        <v>3561.39</v>
      </c>
      <c r="G9" s="2" t="n">
        <f aca="false">E9-F9</f>
        <v>0</v>
      </c>
      <c r="H9" s="0" t="str">
        <f aca="false">IF(D9="","No matching PO",IF(ABS(E9-D9)&gt;0.01,"PO/Invoice amount mismatch",IF(F9=0,"Unpaid",IF(ABS(F9-E9)&gt;0.01,"Payment amount mismatch","OK"))))</f>
        <v>PO/Invoice amount mismatch</v>
      </c>
    </row>
    <row r="10" customFormat="false" ht="15" hidden="false" customHeight="false" outlineLevel="0" collapsed="false">
      <c r="A10" s="0" t="str">
        <f aca="false">Invoices!A8</f>
        <v>INV-2007</v>
      </c>
      <c r="B10" s="0" t="str">
        <f aca="false">Invoices!C8</f>
        <v>Delta Print &amp; Design</v>
      </c>
      <c r="C10" s="0" t="str">
        <f aca="false">Invoices!B8</f>
        <v>PO-1007</v>
      </c>
      <c r="D10" s="2" t="n">
        <f aca="false">IFERROR(INDEX('Purchase Orders'!$C$2:$C$16,MATCH(C10,'Purchase Orders'!$A$2:$A$16,0)),"")</f>
        <v>3028.48</v>
      </c>
      <c r="E10" s="2" t="n">
        <f aca="false">Invoices!D8</f>
        <v>3028.48</v>
      </c>
      <c r="F10" s="2" t="n">
        <f aca="false">SUMIF(Payments!$B$2:$B$16,A10,Payments!$C$2:$C$16)</f>
        <v>3028.48</v>
      </c>
      <c r="G10" s="2" t="n">
        <f aca="false">E10-F10</f>
        <v>0</v>
      </c>
      <c r="H10" s="0" t="str">
        <f aca="false">IF(D10="","No matching PO",IF(ABS(E10-D10)&gt;0.01,"PO/Invoice amount mismatch",IF(F10=0,"Unpaid",IF(ABS(F10-E10)&gt;0.01,"Payment amount mismatch","OK"))))</f>
        <v>OK</v>
      </c>
    </row>
    <row r="11" customFormat="false" ht="15" hidden="false" customHeight="false" outlineLevel="0" collapsed="false">
      <c r="A11" s="0" t="str">
        <f aca="false">Invoices!A9</f>
        <v>INV-2008</v>
      </c>
      <c r="B11" s="0" t="str">
        <f aca="false">Invoices!C9</f>
        <v>Bright Office Supplies</v>
      </c>
      <c r="C11" s="0" t="str">
        <f aca="false">Invoices!B9</f>
        <v>PO-1008</v>
      </c>
      <c r="D11" s="2" t="n">
        <f aca="false">IFERROR(INDEX('Purchase Orders'!$C$2:$C$16,MATCH(C11,'Purchase Orders'!$A$2:$A$16,0)),"")</f>
        <v>3551.07</v>
      </c>
      <c r="E11" s="2" t="n">
        <f aca="false">Invoices!D9</f>
        <v>3551.07</v>
      </c>
      <c r="F11" s="2" t="n">
        <f aca="false">SUMIF(Payments!$B$2:$B$16,A11,Payments!$C$2:$C$16)</f>
        <v>2130.64</v>
      </c>
      <c r="G11" s="2" t="n">
        <f aca="false">E11-F11</f>
        <v>1420.43</v>
      </c>
      <c r="H11" s="0" t="str">
        <f aca="false">IF(D11="","No matching PO",IF(ABS(E11-D11)&gt;0.01,"PO/Invoice amount mismatch",IF(F11=0,"Unpaid",IF(ABS(F11-E11)&gt;0.01,"Payment amount mismatch","OK"))))</f>
        <v>Payment amount mismatch</v>
      </c>
    </row>
    <row r="12" customFormat="false" ht="15" hidden="false" customHeight="false" outlineLevel="0" collapsed="false">
      <c r="A12" s="0" t="str">
        <f aca="false">Invoices!A10</f>
        <v>INV-2009</v>
      </c>
      <c r="B12" s="0" t="str">
        <f aca="false">Invoices!C10</f>
        <v>Bright Office Supplies</v>
      </c>
      <c r="C12" s="0" t="str">
        <f aca="false">Invoices!B10</f>
        <v>PO-1009</v>
      </c>
      <c r="D12" s="2" t="n">
        <f aca="false">IFERROR(INDEX('Purchase Orders'!$C$2:$C$16,MATCH(C12,'Purchase Orders'!$A$2:$A$16,0)),"")</f>
        <v>1233.51</v>
      </c>
      <c r="E12" s="2" t="n">
        <f aca="false">Invoices!D10</f>
        <v>1233.51</v>
      </c>
      <c r="F12" s="2" t="n">
        <f aca="false">SUMIF(Payments!$B$2:$B$16,A12,Payments!$C$2:$C$16)</f>
        <v>1233.51</v>
      </c>
      <c r="G12" s="2" t="n">
        <f aca="false">E12-F12</f>
        <v>0</v>
      </c>
      <c r="H12" s="0" t="str">
        <f aca="false">IF(D12="","No matching PO",IF(ABS(E12-D12)&gt;0.01,"PO/Invoice amount mismatch",IF(F12=0,"Unpaid",IF(ABS(F12-E12)&gt;0.01,"Payment amount mismatch","OK"))))</f>
        <v>OK</v>
      </c>
    </row>
    <row r="13" customFormat="false" ht="15" hidden="false" customHeight="false" outlineLevel="0" collapsed="false">
      <c r="A13" s="0" t="str">
        <f aca="false">Invoices!A11</f>
        <v>INV-2010</v>
      </c>
      <c r="B13" s="0" t="str">
        <f aca="false">Invoices!C11</f>
        <v>Alpha Trading Co</v>
      </c>
      <c r="C13" s="0" t="str">
        <f aca="false">Invoices!B11</f>
        <v>PO-1010</v>
      </c>
      <c r="D13" s="2" t="n">
        <f aca="false">IFERROR(INDEX('Purchase Orders'!$C$2:$C$16,MATCH(C13,'Purchase Orders'!$A$2:$A$16,0)),"")</f>
        <v>2023.65</v>
      </c>
      <c r="E13" s="2" t="n">
        <f aca="false">Invoices!D11</f>
        <v>2023.65</v>
      </c>
      <c r="F13" s="2" t="n">
        <f aca="false">SUMIF(Payments!$B$2:$B$16,A13,Payments!$C$2:$C$16)</f>
        <v>2023.65</v>
      </c>
      <c r="G13" s="2" t="n">
        <f aca="false">E13-F13</f>
        <v>0</v>
      </c>
      <c r="H13" s="0" t="str">
        <f aca="false">IF(D13="","No matching PO",IF(ABS(E13-D13)&gt;0.01,"PO/Invoice amount mismatch",IF(F13=0,"Unpaid",IF(ABS(F13-E13)&gt;0.01,"Payment amount mismatch","OK"))))</f>
        <v>OK</v>
      </c>
    </row>
    <row r="14" customFormat="false" ht="15" hidden="false" customHeight="false" outlineLevel="0" collapsed="false">
      <c r="A14" s="0" t="str">
        <f aca="false">Invoices!A12</f>
        <v>INV-2011</v>
      </c>
      <c r="B14" s="0" t="str">
        <f aca="false">Invoices!C12</f>
        <v>Alpha Trading Co</v>
      </c>
      <c r="C14" s="0" t="str">
        <f aca="false">Invoices!B12</f>
        <v>PO-1010</v>
      </c>
      <c r="D14" s="2" t="n">
        <f aca="false">IFERROR(INDEX('Purchase Orders'!$C$2:$C$16,MATCH(C14,'Purchase Orders'!$A$2:$A$16,0)),"")</f>
        <v>2023.65</v>
      </c>
      <c r="E14" s="2" t="n">
        <f aca="false">Invoices!D12</f>
        <v>2023.65</v>
      </c>
      <c r="F14" s="2" t="n">
        <f aca="false">SUMIF(Payments!$B$2:$B$16,A14,Payments!$C$2:$C$16)</f>
        <v>2023.65</v>
      </c>
      <c r="G14" s="2" t="n">
        <f aca="false">E14-F14</f>
        <v>0</v>
      </c>
      <c r="H14" s="0" t="str">
        <f aca="false">IF(D14="","No matching PO",IF(ABS(E14-D14)&gt;0.01,"PO/Invoice amount mismatch",IF(F14=0,"Unpaid",IF(ABS(F14-E14)&gt;0.01,"Payment amount mismatch","OK"))))</f>
        <v>OK</v>
      </c>
    </row>
    <row r="15" customFormat="false" ht="15" hidden="false" customHeight="false" outlineLevel="0" collapsed="false">
      <c r="A15" s="0" t="str">
        <f aca="false">Invoices!A13</f>
        <v>INV-2012</v>
      </c>
      <c r="B15" s="0" t="str">
        <f aca="false">Invoices!C13</f>
        <v>Coastal Logistics</v>
      </c>
      <c r="C15" s="0" t="str">
        <f aca="false">Invoices!B13</f>
        <v>PO-1011</v>
      </c>
      <c r="D15" s="2" t="n">
        <f aca="false">IFERROR(INDEX('Purchase Orders'!$C$2:$C$16,MATCH(C15,'Purchase Orders'!$A$2:$A$16,0)),"")</f>
        <v>3097.88</v>
      </c>
      <c r="E15" s="2" t="n">
        <f aca="false">Invoices!D13</f>
        <v>3097.88</v>
      </c>
      <c r="F15" s="2" t="n">
        <f aca="false">SUMIF(Payments!$B$2:$B$16,A15,Payments!$C$2:$C$16)</f>
        <v>0</v>
      </c>
      <c r="G15" s="2" t="n">
        <f aca="false">E15-F15</f>
        <v>3097.88</v>
      </c>
      <c r="H15" s="0" t="str">
        <f aca="false">IF(D15="","No matching PO",IF(ABS(E15-D15)&gt;0.01,"PO/Invoice amount mismatch",IF(F15=0,"Unpaid",IF(ABS(F15-E15)&gt;0.01,"Payment amount mismatch","OK"))))</f>
        <v>Unpaid</v>
      </c>
    </row>
    <row r="16" customFormat="false" ht="15" hidden="false" customHeight="false" outlineLevel="0" collapsed="false">
      <c r="A16" s="0" t="str">
        <f aca="false">Invoices!A14</f>
        <v>INV-2013</v>
      </c>
      <c r="B16" s="0" t="str">
        <f aca="false">Invoices!C14</f>
        <v>Delta Print &amp; Design</v>
      </c>
      <c r="C16" s="0" t="str">
        <f aca="false">Invoices!B14</f>
        <v>PO-1012</v>
      </c>
      <c r="D16" s="2" t="n">
        <f aca="false">IFERROR(INDEX('Purchase Orders'!$C$2:$C$16,MATCH(C16,'Purchase Orders'!$A$2:$A$16,0)),"")</f>
        <v>2773.89</v>
      </c>
      <c r="E16" s="2" t="n">
        <f aca="false">Invoices!D14</f>
        <v>2773.89</v>
      </c>
      <c r="F16" s="2" t="n">
        <f aca="false">SUMIF(Payments!$B$2:$B$16,A16,Payments!$C$2:$C$16)</f>
        <v>2773.89</v>
      </c>
      <c r="G16" s="2" t="n">
        <f aca="false">E16-F16</f>
        <v>0</v>
      </c>
      <c r="H16" s="0" t="str">
        <f aca="false">IF(D16="","No matching PO",IF(ABS(E16-D16)&gt;0.01,"PO/Invoice amount mismatch",IF(F16=0,"Unpaid",IF(ABS(F16-E16)&gt;0.01,"Payment amount mismatch","OK"))))</f>
        <v>OK</v>
      </c>
    </row>
    <row r="17" customFormat="false" ht="15" hidden="false" customHeight="false" outlineLevel="0" collapsed="false">
      <c r="A17" s="0" t="str">
        <f aca="false">Invoices!A15</f>
        <v>INV-2014</v>
      </c>
      <c r="B17" s="0" t="str">
        <f aca="false">Invoices!C15</f>
        <v>Everline Packaging</v>
      </c>
      <c r="C17" s="0" t="str">
        <f aca="false">Invoices!B15</f>
        <v>PO-1013</v>
      </c>
      <c r="D17" s="2" t="n">
        <f aca="false">IFERROR(INDEX('Purchase Orders'!$C$2:$C$16,MATCH(C17,'Purchase Orders'!$A$2:$A$16,0)),"")</f>
        <v>1607.26</v>
      </c>
      <c r="E17" s="2" t="n">
        <f aca="false">Invoices!D15</f>
        <v>1607.26</v>
      </c>
      <c r="F17" s="2" t="n">
        <f aca="false">SUMIF(Payments!$B$2:$B$16,A17,Payments!$C$2:$C$16)</f>
        <v>1607.26</v>
      </c>
      <c r="G17" s="2" t="n">
        <f aca="false">E17-F17</f>
        <v>0</v>
      </c>
      <c r="H17" s="0" t="str">
        <f aca="false">IF(D17="","No matching PO",IF(ABS(E17-D17)&gt;0.01,"PO/Invoice amount mismatch",IF(F17=0,"Unpaid",IF(ABS(F17-E17)&gt;0.01,"Payment amount mismatch","OK"))))</f>
        <v>OK</v>
      </c>
    </row>
    <row r="18" customFormat="false" ht="15" hidden="false" customHeight="false" outlineLevel="0" collapsed="false">
      <c r="A18" s="0" t="str">
        <f aca="false">Invoices!A16</f>
        <v>INV-2015</v>
      </c>
      <c r="B18" s="0" t="str">
        <f aca="false">Invoices!C16</f>
        <v>Bright Office Supplies</v>
      </c>
      <c r="C18" s="0" t="str">
        <f aca="false">Invoices!B16</f>
        <v>PO-1014</v>
      </c>
      <c r="D18" s="2" t="n">
        <f aca="false">IFERROR(INDEX('Purchase Orders'!$C$2:$C$16,MATCH(C18,'Purchase Orders'!$A$2:$A$16,0)),"")</f>
        <v>3581.94</v>
      </c>
      <c r="E18" s="2" t="n">
        <f aca="false">Invoices!D16</f>
        <v>3581.94</v>
      </c>
      <c r="F18" s="2" t="n">
        <f aca="false">SUMIF(Payments!$B$2:$B$16,A18,Payments!$C$2:$C$16)</f>
        <v>3581.94</v>
      </c>
      <c r="G18" s="2" t="n">
        <f aca="false">E18-F18</f>
        <v>0</v>
      </c>
      <c r="H18" s="0" t="str">
        <f aca="false">IF(D18="","No matching PO",IF(ABS(E18-D18)&gt;0.01,"PO/Invoice amount mismatch",IF(F18=0,"Unpaid",IF(ABS(F18-E18)&gt;0.01,"Payment amount mismatch","OK"))))</f>
        <v>OK</v>
      </c>
    </row>
    <row r="19" customFormat="false" ht="15" hidden="false" customHeight="false" outlineLevel="0" collapsed="false">
      <c r="A19" s="0" t="str">
        <f aca="false">Invoices!A17</f>
        <v>INV-2016</v>
      </c>
      <c r="B19" s="0" t="str">
        <f aca="false">Invoices!C17</f>
        <v>Bright Office Supplies</v>
      </c>
      <c r="C19" s="0" t="str">
        <f aca="false">Invoices!B17</f>
        <v>PO-1015</v>
      </c>
      <c r="D19" s="2" t="n">
        <f aca="false">IFERROR(INDEX('Purchase Orders'!$C$2:$C$16,MATCH(C19,'Purchase Orders'!$A$2:$A$16,0)),"")</f>
        <v>3910.73</v>
      </c>
      <c r="E19" s="2" t="n">
        <f aca="false">Invoices!D17</f>
        <v>3910.73</v>
      </c>
      <c r="F19" s="2" t="n">
        <f aca="false">SUMIF(Payments!$B$2:$B$16,A19,Payments!$C$2:$C$16)</f>
        <v>3910.73</v>
      </c>
      <c r="G19" s="2" t="n">
        <f aca="false">E19-F19</f>
        <v>0</v>
      </c>
      <c r="H19" s="0" t="str">
        <f aca="false">IF(D19="","No matching PO",IF(ABS(E19-D19)&gt;0.01,"PO/Invoice amount mismatch",IF(F19=0,"Unpaid",IF(ABS(F19-E19)&gt;0.01,"Payment amount mismatch","OK"))))</f>
        <v>OK</v>
      </c>
    </row>
    <row r="20" customFormat="false" ht="15" hidden="false" customHeight="false" outlineLevel="0" collapsed="false">
      <c r="A20" s="0" t="str">
        <f aca="false">Invoices!A18</f>
        <v>INV-2017</v>
      </c>
      <c r="B20" s="0" t="str">
        <f aca="false">Invoices!C18</f>
        <v>Coastal Logistics</v>
      </c>
      <c r="C20" s="0" t="str">
        <f aca="false">Invoices!B18</f>
        <v>PO-9999</v>
      </c>
      <c r="D20" s="2" t="str">
        <f aca="false">IFERROR(INDEX('Purchase Orders'!$C$2:$C$16,MATCH(C20,'Purchase Orders'!$A$2:$A$16,0)),"")</f>
        <v/>
      </c>
      <c r="E20" s="2" t="n">
        <f aca="false">Invoices!D18</f>
        <v>640</v>
      </c>
      <c r="F20" s="2" t="n">
        <f aca="false">SUMIF(Payments!$B$2:$B$16,A20,Payments!$C$2:$C$16)</f>
        <v>640</v>
      </c>
      <c r="G20" s="2" t="n">
        <f aca="false">E20-F20</f>
        <v>0</v>
      </c>
      <c r="H20" s="0" t="str">
        <f aca="false">IF(D20="","No matching PO",IF(ABS(E20-D20)&gt;0.01,"PO/Invoice amount mismatch",IF(F20=0,"Unpaid",IF(ABS(F20-E20)&gt;0.01,"Payment amount mismatch","OK"))))</f>
        <v>No matching PO</v>
      </c>
    </row>
  </sheetData>
  <mergeCells count="1">
    <mergeCell ref="A1:H1"/>
  </mergeCells>
  <conditionalFormatting sqref="H4:H20">
    <cfRule type="expression" priority="2" aboveAverage="0" equalAverage="0" bottom="0" percent="0" rank="0" text="" dxfId="0">
      <formula>H4&lt;&gt;"OK"</formula>
    </cfRule>
    <cfRule type="expression" priority="3" aboveAverage="0" equalAverage="0" bottom="0" percent="0" rank="0" text="" dxfId="1">
      <formula>H4="OK"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</cols>
  <sheetData>
    <row r="1" customFormat="false" ht="17.35" hidden="false" customHeight="false" outlineLevel="0" collapsed="false">
      <c r="A1" s="5" t="s">
        <v>84</v>
      </c>
    </row>
    <row r="3" customFormat="false" ht="15" hidden="false" customHeight="false" outlineLevel="0" collapsed="false">
      <c r="A3" s="1" t="s">
        <v>83</v>
      </c>
      <c r="B3" s="1" t="s">
        <v>85</v>
      </c>
    </row>
    <row r="4" customFormat="false" ht="15" hidden="false" customHeight="false" outlineLevel="0" collapsed="false">
      <c r="A4" s="0" t="s">
        <v>86</v>
      </c>
      <c r="B4" s="0" t="n">
        <f aca="false">COUNTIF(Exceptions!$H$4:$H$20,A4)</f>
        <v>1</v>
      </c>
    </row>
    <row r="5" customFormat="false" ht="15" hidden="false" customHeight="false" outlineLevel="0" collapsed="false">
      <c r="A5" s="0" t="s">
        <v>87</v>
      </c>
      <c r="B5" s="0" t="n">
        <f aca="false">COUNTIF(Exceptions!$H$4:$H$20,A5)</f>
        <v>2</v>
      </c>
    </row>
    <row r="6" customFormat="false" ht="15" hidden="false" customHeight="false" outlineLevel="0" collapsed="false">
      <c r="A6" s="0" t="s">
        <v>88</v>
      </c>
      <c r="B6" s="0" t="n">
        <f aca="false">COUNTIF(Exceptions!$H$4:$H$20,A6)</f>
        <v>2</v>
      </c>
    </row>
    <row r="7" customFormat="false" ht="15" hidden="false" customHeight="false" outlineLevel="0" collapsed="false">
      <c r="A7" s="0" t="s">
        <v>89</v>
      </c>
      <c r="B7" s="0" t="n">
        <f aca="false">COUNTIF(Exceptions!$H$4:$H$20,A7)</f>
        <v>1</v>
      </c>
    </row>
    <row r="8" customFormat="false" ht="15" hidden="false" customHeight="false" outlineLevel="0" collapsed="false">
      <c r="A8" s="0" t="s">
        <v>90</v>
      </c>
      <c r="B8" s="0" t="n">
        <f aca="false">COUNTIF(Exceptions!$H$4:$H$20,A8)</f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2026-09-22T09:05:32Z</dcterms:created>
  <dc:creator>openpyxl</dc:creator>
  <dc:description/>
  <dc:language>en-US</dc:language>
  <cp:lastModifiedBy/>
  <dcterms:modified xsi:type="dcterms:W3CDTF">2026-09-22T09:05:32Z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